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na\Downloads\"/>
    </mc:Choice>
  </mc:AlternateContent>
  <xr:revisionPtr revIDLastSave="0" documentId="8_{5538A535-EDE0-43BD-A814-2F79DC17779E}" xr6:coauthVersionLast="47" xr6:coauthVersionMax="47" xr10:uidLastSave="{00000000-0000-0000-0000-000000000000}"/>
  <bookViews>
    <workbookView xWindow="-110" yWindow="-110" windowWidth="19420" windowHeight="10300" xr2:uid="{D129C4EB-6BD3-40C0-9861-07E9D965A1CD}"/>
  </bookViews>
  <sheets>
    <sheet name="Grafica 8.1" sheetId="1" r:id="rId1"/>
    <sheet name="Grafica 8.2" sheetId="2" r:id="rId2"/>
    <sheet name="Grafica 8.3" sheetId="5" r:id="rId3"/>
    <sheet name="Grafica 8.4" sheetId="6" r:id="rId4"/>
    <sheet name="Grafica 8.5" sheetId="7" r:id="rId5"/>
    <sheet name="Grafica 8.6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5" l="1"/>
  <c r="C5" i="5" s="1"/>
  <c r="C6" i="5" s="1"/>
  <c r="C3" i="5"/>
  <c r="C2" i="5"/>
  <c r="C4" i="2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3" i="2"/>
  <c r="C2" i="2"/>
  <c r="C4" i="1"/>
  <c r="C5" i="1"/>
  <c r="C6" i="1"/>
  <c r="C7" i="1"/>
  <c r="C8" i="1" s="1"/>
  <c r="C9" i="1" s="1"/>
  <c r="C3" i="1"/>
  <c r="C2" i="1"/>
</calcChain>
</file>

<file path=xl/sharedStrings.xml><?xml version="1.0" encoding="utf-8"?>
<sst xmlns="http://schemas.openxmlformats.org/spreadsheetml/2006/main" count="57" uniqueCount="47">
  <si>
    <t>Departamento</t>
  </si>
  <si>
    <t>Monto Total (COP)</t>
  </si>
  <si>
    <t>Antioquia</t>
  </si>
  <si>
    <t>Boyacá</t>
  </si>
  <si>
    <t>Cundinamarca</t>
  </si>
  <si>
    <t>Santander</t>
  </si>
  <si>
    <t>Nariño</t>
  </si>
  <si>
    <t>Bolívar</t>
  </si>
  <si>
    <t>Tolima</t>
  </si>
  <si>
    <t>Valle del Cauca</t>
  </si>
  <si>
    <t xml:space="preserve">Monto Total </t>
  </si>
  <si>
    <t>Acumulado</t>
  </si>
  <si>
    <t>Municipio</t>
  </si>
  <si>
    <t>Cantidad Vendida</t>
  </si>
  <si>
    <t>Valdivia</t>
  </si>
  <si>
    <t>Turbo</t>
  </si>
  <si>
    <t>Sopetrán</t>
  </si>
  <si>
    <t>Cáceres</t>
  </si>
  <si>
    <t>Amagá</t>
  </si>
  <si>
    <t>Frontino</t>
  </si>
  <si>
    <t>Puerto Berrío</t>
  </si>
  <si>
    <t>Anorí</t>
  </si>
  <si>
    <t>Dabeiba</t>
  </si>
  <si>
    <t>Amalfi</t>
  </si>
  <si>
    <t>Belmira</t>
  </si>
  <si>
    <t>San Pedro de Urabá</t>
  </si>
  <si>
    <t>Venecia</t>
  </si>
  <si>
    <t>Arboletes</t>
  </si>
  <si>
    <t>Cantidad (Unidades)</t>
  </si>
  <si>
    <t>Departamento- Municipio</t>
  </si>
  <si>
    <t>Valle del Cauca - Zarzal</t>
  </si>
  <si>
    <t>Cesar - Pelaya</t>
  </si>
  <si>
    <t>Boyacá - Togüí</t>
  </si>
  <si>
    <t>Córdoba - Moñitos</t>
  </si>
  <si>
    <t>Cundinamarca - Sesquilé</t>
  </si>
  <si>
    <t>Región</t>
  </si>
  <si>
    <t>Cantidad Vendida (Unidades)</t>
  </si>
  <si>
    <t>Centro Oriente</t>
  </si>
  <si>
    <t>Caribe</t>
  </si>
  <si>
    <t>Eje Cafetero</t>
  </si>
  <si>
    <t>Pacífico</t>
  </si>
  <si>
    <t>Llano</t>
  </si>
  <si>
    <t>Producto</t>
  </si>
  <si>
    <t>COLOMBIANITA</t>
  </si>
  <si>
    <t>MANZALOCA</t>
  </si>
  <si>
    <t>MANGOSÓN</t>
  </si>
  <si>
    <t>NARANJITA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</si>
</sst>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3" fontId="3" fillId="0" borderId="1" xfId="0" applyNumberFormat="1" applyFont="1" applyBorder="1" applyAlignment="1">
      <alignment horizontal="left" vertical="center" wrapText="1" indent="1"/>
    </xf>
    <xf numFmtId="9" fontId="0" fillId="0" borderId="0" xfId="1" applyFont="1"/>
    <xf numFmtId="0" fontId="4" fillId="0" borderId="2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2" fillId="0" borderId="0" xfId="0" applyFont="1"/>
    <xf numFmtId="0" fontId="4" fillId="0" borderId="2" xfId="0" applyFont="1" applyBorder="1" applyAlignment="1">
      <alignment vertical="center" wrapText="1"/>
    </xf>
  </cellXfs>
  <cellStyles count="2">
    <cellStyle name="Normal" xfId="0" builtinId="0"/>
    <cellStyle name="Porcentaje" xfId="1" builtinId="5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top style="medium">
          <color rgb="FFC4C7C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top style="medium">
          <color rgb="FFC4C7C5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Ventas Totales por Departamento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 8.1'!$B$1</c:f>
              <c:strCache>
                <c:ptCount val="1"/>
                <c:pt idx="0">
                  <c:v>Monto Total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'Grafica 8.1'!$A$1:$A$9</c15:sqref>
                  </c15:fullRef>
                </c:ext>
              </c:extLst>
              <c:f>'Grafica 8.1'!$A$2:$A$9</c:f>
              <c:strCache>
                <c:ptCount val="8"/>
                <c:pt idx="0">
                  <c:v>Antioquia</c:v>
                </c:pt>
                <c:pt idx="1">
                  <c:v>Boyacá</c:v>
                </c:pt>
                <c:pt idx="2">
                  <c:v>Cundinamarca</c:v>
                </c:pt>
                <c:pt idx="3">
                  <c:v>Santander</c:v>
                </c:pt>
                <c:pt idx="4">
                  <c:v>Nariño</c:v>
                </c:pt>
                <c:pt idx="5">
                  <c:v>Bolívar</c:v>
                </c:pt>
                <c:pt idx="6">
                  <c:v>Tolima</c:v>
                </c:pt>
                <c:pt idx="7">
                  <c:v>Valle del Cauca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'Grafica 8.1'!$B$1:$B$9</c15:sqref>
                  </c15:fullRef>
                </c:ext>
              </c:extLst>
              <c:f>'Grafica 8.1'!$B$2:$B$9</c:f>
              <c:numCache>
                <c:formatCode>#,##0</c:formatCode>
                <c:ptCount val="8"/>
                <c:pt idx="0">
                  <c:v>105759800</c:v>
                </c:pt>
                <c:pt idx="1">
                  <c:v>99513900</c:v>
                </c:pt>
                <c:pt idx="2">
                  <c:v>93349300</c:v>
                </c:pt>
                <c:pt idx="3">
                  <c:v>73633600</c:v>
                </c:pt>
                <c:pt idx="4">
                  <c:v>54167600</c:v>
                </c:pt>
                <c:pt idx="5">
                  <c:v>40279200</c:v>
                </c:pt>
                <c:pt idx="6">
                  <c:v>39817700</c:v>
                </c:pt>
                <c:pt idx="7">
                  <c:v>36605600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1-4F44-BD4F-11E4229FE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8744208"/>
        <c:axId val="1553671600"/>
      </c:barChart>
      <c:lineChart>
        <c:grouping val="standard"/>
        <c:varyColors val="0"/>
        <c:ser>
          <c:idx val="1"/>
          <c:order val="1"/>
          <c:tx>
            <c:strRef>
              <c:f>'Grafica 8.1'!$C$1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'Grafica 8.1'!$A$1:$A$9</c15:sqref>
                  </c15:fullRef>
                </c:ext>
              </c:extLst>
              <c:f>'Grafica 8.1'!$A$2:$A$9</c:f>
              <c:strCache>
                <c:ptCount val="8"/>
                <c:pt idx="0">
                  <c:v>Antioquia</c:v>
                </c:pt>
                <c:pt idx="1">
                  <c:v>Boyacá</c:v>
                </c:pt>
                <c:pt idx="2">
                  <c:v>Cundinamarca</c:v>
                </c:pt>
                <c:pt idx="3">
                  <c:v>Santander</c:v>
                </c:pt>
                <c:pt idx="4">
                  <c:v>Nariño</c:v>
                </c:pt>
                <c:pt idx="5">
                  <c:v>Bolívar</c:v>
                </c:pt>
                <c:pt idx="6">
                  <c:v>Tolima</c:v>
                </c:pt>
                <c:pt idx="7">
                  <c:v>Valle del Cauca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'Grafica 8.1'!$C$1:$C$9</c15:sqref>
                  </c15:fullRef>
                </c:ext>
              </c:extLst>
              <c:f>'Grafica 8.1'!$C$2:$C$9</c:f>
              <c:numCache>
                <c:formatCode>0%</c:formatCode>
                <c:ptCount val="8"/>
                <c:pt idx="0">
                  <c:v>0.19472399349912276</c:v>
                </c:pt>
                <c:pt idx="1">
                  <c:v>0.37794809203819291</c:v>
                </c:pt>
                <c:pt idx="2">
                  <c:v>0.54982198444672303</c:v>
                </c:pt>
                <c:pt idx="3">
                  <c:v>0.6853955071625093</c:v>
                </c:pt>
                <c:pt idx="4">
                  <c:v>0.78512840558197572</c:v>
                </c:pt>
                <c:pt idx="5">
                  <c:v>0.85929010670990769</c:v>
                </c:pt>
                <c:pt idx="6">
                  <c:v>0.93260209818445683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E1-4F44-BD4F-11E4229FE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2605472"/>
        <c:axId val="1553670160"/>
      </c:lineChart>
      <c:catAx>
        <c:axId val="154874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3671600"/>
        <c:auto val="1"/>
        <c:lblAlgn val="ctr"/>
        <c:lblOffset val="100"/>
        <c:noMultiLvlLbl val="0"/>
      </c:catAx>
      <c:valAx>
        <c:axId val="15536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8744208"/>
        <c:crossBetween val="between"/>
      </c:valAx>
      <c:valAx>
        <c:axId val="1553670160"/>
        <c:scaling>
          <c:orientation val="minMax"/>
          <c:max val="1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02605472"/>
        <c:crosses val="max"/>
        <c:crossBetween val="between"/>
      </c:valAx>
      <c:catAx>
        <c:axId val="1502605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5367016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baseline="0"/>
              <a:t>Top 15 Municipios de Antioquia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 8.2'!$B$1</c:f>
              <c:strCache>
                <c:ptCount val="1"/>
                <c:pt idx="0">
                  <c:v>Cantidad Vendida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'Grafica 8.2'!$A$2:$A$16</c:f>
              <c:strCache>
                <c:ptCount val="15"/>
                <c:pt idx="0">
                  <c:v>Valdivia</c:v>
                </c:pt>
                <c:pt idx="1">
                  <c:v>Turbo</c:v>
                </c:pt>
                <c:pt idx="2">
                  <c:v>Sopetrán</c:v>
                </c:pt>
                <c:pt idx="3">
                  <c:v>Nariño</c:v>
                </c:pt>
                <c:pt idx="4">
                  <c:v>Cáceres</c:v>
                </c:pt>
                <c:pt idx="5">
                  <c:v>Amagá</c:v>
                </c:pt>
                <c:pt idx="6">
                  <c:v>Frontino</c:v>
                </c:pt>
                <c:pt idx="7">
                  <c:v>Puerto Berrío</c:v>
                </c:pt>
                <c:pt idx="8">
                  <c:v>Anorí</c:v>
                </c:pt>
                <c:pt idx="9">
                  <c:v>Dabeiba</c:v>
                </c:pt>
                <c:pt idx="10">
                  <c:v>Amalfi</c:v>
                </c:pt>
                <c:pt idx="11">
                  <c:v>Belmira</c:v>
                </c:pt>
                <c:pt idx="12">
                  <c:v>San Pedro de Urabá</c:v>
                </c:pt>
                <c:pt idx="13">
                  <c:v>Venecia</c:v>
                </c:pt>
                <c:pt idx="14">
                  <c:v>Arboletes</c:v>
                </c:pt>
              </c:strCache>
            </c:strRef>
          </c:cat>
          <c:val>
            <c:numRef>
              <c:f>'Grafica 8.2'!$B$2:$B$16</c:f>
              <c:numCache>
                <c:formatCode>#,##0</c:formatCode>
                <c:ptCount val="15"/>
                <c:pt idx="0">
                  <c:v>1850</c:v>
                </c:pt>
                <c:pt idx="1">
                  <c:v>1708</c:v>
                </c:pt>
                <c:pt idx="2">
                  <c:v>1699</c:v>
                </c:pt>
                <c:pt idx="3">
                  <c:v>1611</c:v>
                </c:pt>
                <c:pt idx="4">
                  <c:v>1604</c:v>
                </c:pt>
                <c:pt idx="5">
                  <c:v>1600</c:v>
                </c:pt>
                <c:pt idx="6">
                  <c:v>1520</c:v>
                </c:pt>
                <c:pt idx="7">
                  <c:v>1514</c:v>
                </c:pt>
                <c:pt idx="8">
                  <c:v>1510</c:v>
                </c:pt>
                <c:pt idx="9">
                  <c:v>1441</c:v>
                </c:pt>
                <c:pt idx="10">
                  <c:v>1430</c:v>
                </c:pt>
                <c:pt idx="11">
                  <c:v>1412</c:v>
                </c:pt>
                <c:pt idx="12">
                  <c:v>1399</c:v>
                </c:pt>
                <c:pt idx="13">
                  <c:v>1391</c:v>
                </c:pt>
                <c:pt idx="14">
                  <c:v>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A-4F9A-8C73-A8C56C5A7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5981248"/>
        <c:axId val="1553545360"/>
      </c:barChart>
      <c:lineChart>
        <c:grouping val="standard"/>
        <c:varyColors val="0"/>
        <c:ser>
          <c:idx val="1"/>
          <c:order val="1"/>
          <c:tx>
            <c:strRef>
              <c:f>'Grafica 8.2'!$C$1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'Grafica 8.2'!$A$2:$A$16</c:f>
              <c:strCache>
                <c:ptCount val="15"/>
                <c:pt idx="0">
                  <c:v>Valdivia</c:v>
                </c:pt>
                <c:pt idx="1">
                  <c:v>Turbo</c:v>
                </c:pt>
                <c:pt idx="2">
                  <c:v>Sopetrán</c:v>
                </c:pt>
                <c:pt idx="3">
                  <c:v>Nariño</c:v>
                </c:pt>
                <c:pt idx="4">
                  <c:v>Cáceres</c:v>
                </c:pt>
                <c:pt idx="5">
                  <c:v>Amagá</c:v>
                </c:pt>
                <c:pt idx="6">
                  <c:v>Frontino</c:v>
                </c:pt>
                <c:pt idx="7">
                  <c:v>Puerto Berrío</c:v>
                </c:pt>
                <c:pt idx="8">
                  <c:v>Anorí</c:v>
                </c:pt>
                <c:pt idx="9">
                  <c:v>Dabeiba</c:v>
                </c:pt>
                <c:pt idx="10">
                  <c:v>Amalfi</c:v>
                </c:pt>
                <c:pt idx="11">
                  <c:v>Belmira</c:v>
                </c:pt>
                <c:pt idx="12">
                  <c:v>San Pedro de Urabá</c:v>
                </c:pt>
                <c:pt idx="13">
                  <c:v>Venecia</c:v>
                </c:pt>
                <c:pt idx="14">
                  <c:v>Arboletes</c:v>
                </c:pt>
              </c:strCache>
            </c:strRef>
          </c:cat>
          <c:val>
            <c:numRef>
              <c:f>'Grafica 8.2'!$C$2:$C$16</c:f>
              <c:numCache>
                <c:formatCode>0%</c:formatCode>
                <c:ptCount val="15"/>
                <c:pt idx="0">
                  <c:v>8.0194200008669642E-2</c:v>
                </c:pt>
                <c:pt idx="1">
                  <c:v>0.15423295331397113</c:v>
                </c:pt>
                <c:pt idx="2">
                  <c:v>0.22788157267328452</c:v>
                </c:pt>
                <c:pt idx="3">
                  <c:v>0.29771554900515845</c:v>
                </c:pt>
                <c:pt idx="4">
                  <c:v>0.36724608782348611</c:v>
                </c:pt>
                <c:pt idx="5">
                  <c:v>0.43660323377693011</c:v>
                </c:pt>
                <c:pt idx="6">
                  <c:v>0.50249252243270193</c:v>
                </c:pt>
                <c:pt idx="7">
                  <c:v>0.56812172179114828</c:v>
                </c:pt>
                <c:pt idx="8">
                  <c:v>0.63357752828471103</c:v>
                </c:pt>
                <c:pt idx="9">
                  <c:v>0.69604230785903154</c:v>
                </c:pt>
                <c:pt idx="10">
                  <c:v>0.75803025705492211</c:v>
                </c:pt>
                <c:pt idx="11">
                  <c:v>0.8192379383588364</c:v>
                </c:pt>
                <c:pt idx="12">
                  <c:v>0.87988209285187902</c:v>
                </c:pt>
                <c:pt idx="13">
                  <c:v>0.94017946161515442</c:v>
                </c:pt>
                <c:pt idx="14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FA-4F9A-8C73-A8C56C5A7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988672"/>
        <c:axId val="1553547760"/>
      </c:lineChart>
      <c:catAx>
        <c:axId val="161598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3545360"/>
        <c:auto val="1"/>
        <c:lblAlgn val="ctr"/>
        <c:lblOffset val="100"/>
        <c:noMultiLvlLbl val="0"/>
      </c:catAx>
      <c:valAx>
        <c:axId val="155354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5981248"/>
        <c:crossBetween val="between"/>
      </c:valAx>
      <c:valAx>
        <c:axId val="155354776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5988672"/>
        <c:crosses val="max"/>
        <c:crossBetween val="between"/>
      </c:valAx>
      <c:catAx>
        <c:axId val="1615988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5354776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baseline="0"/>
              <a:t>Ventas de MANZALOCA por Departamento</a:t>
            </a:r>
            <a:r>
              <a:rPr lang="es-CO" sz="1400" b="0" i="0" u="none" strike="noStrike" baseline="0"/>
              <a:t>.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 8.3'!$B$1</c:f>
              <c:strCache>
                <c:ptCount val="1"/>
                <c:pt idx="0">
                  <c:v>Cantidad (Unidades)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'Grafica 8.3'!$A$2:$A$6</c:f>
              <c:strCache>
                <c:ptCount val="5"/>
                <c:pt idx="0">
                  <c:v>Antioquia</c:v>
                </c:pt>
                <c:pt idx="1">
                  <c:v>Boyacá</c:v>
                </c:pt>
                <c:pt idx="2">
                  <c:v>Cundinamarca</c:v>
                </c:pt>
                <c:pt idx="3">
                  <c:v>Santander</c:v>
                </c:pt>
                <c:pt idx="4">
                  <c:v>Nariño</c:v>
                </c:pt>
              </c:strCache>
            </c:strRef>
          </c:cat>
          <c:val>
            <c:numRef>
              <c:f>'Grafica 8.3'!$B$2:$B$6</c:f>
              <c:numCache>
                <c:formatCode>#,##0</c:formatCode>
                <c:ptCount val="5"/>
                <c:pt idx="0">
                  <c:v>27305</c:v>
                </c:pt>
                <c:pt idx="1">
                  <c:v>26577</c:v>
                </c:pt>
                <c:pt idx="2">
                  <c:v>25510</c:v>
                </c:pt>
                <c:pt idx="3">
                  <c:v>21376</c:v>
                </c:pt>
                <c:pt idx="4">
                  <c:v>14273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3-4329-A981-E82EC0109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7737584"/>
        <c:axId val="1553719600"/>
      </c:barChart>
      <c:lineChart>
        <c:grouping val="standard"/>
        <c:varyColors val="0"/>
        <c:ser>
          <c:idx val="1"/>
          <c:order val="1"/>
          <c:tx>
            <c:strRef>
              <c:f>'Grafica 8.3'!$C$1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'Grafica 8.3'!$A$2:$A$6</c:f>
              <c:strCache>
                <c:ptCount val="5"/>
                <c:pt idx="0">
                  <c:v>Antioquia</c:v>
                </c:pt>
                <c:pt idx="1">
                  <c:v>Boyacá</c:v>
                </c:pt>
                <c:pt idx="2">
                  <c:v>Cundinamarca</c:v>
                </c:pt>
                <c:pt idx="3">
                  <c:v>Santander</c:v>
                </c:pt>
                <c:pt idx="4">
                  <c:v>Nariño</c:v>
                </c:pt>
              </c:strCache>
            </c:strRef>
          </c:cat>
          <c:val>
            <c:numRef>
              <c:f>'Grafica 8.3'!$C$2:$C$6</c:f>
              <c:numCache>
                <c:formatCode>0%</c:formatCode>
                <c:ptCount val="5"/>
                <c:pt idx="0">
                  <c:v>0.23735016211611512</c:v>
                </c:pt>
                <c:pt idx="1">
                  <c:v>0.46837214558287915</c:v>
                </c:pt>
                <c:pt idx="2">
                  <c:v>0.69011917490286079</c:v>
                </c:pt>
                <c:pt idx="3">
                  <c:v>0.87593118974974149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C3-4329-A981-E82EC0109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731088"/>
        <c:axId val="1553722480"/>
      </c:lineChart>
      <c:catAx>
        <c:axId val="161773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3719600"/>
        <c:auto val="1"/>
        <c:lblAlgn val="ctr"/>
        <c:lblOffset val="100"/>
        <c:noMultiLvlLbl val="0"/>
      </c:catAx>
      <c:valAx>
        <c:axId val="155371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7737584"/>
        <c:crossBetween val="between"/>
      </c:valAx>
      <c:valAx>
        <c:axId val="1553722480"/>
        <c:scaling>
          <c:orientation val="minMax"/>
          <c:max val="1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7731088"/>
        <c:crosses val="max"/>
        <c:crossBetween val="between"/>
      </c:valAx>
      <c:catAx>
        <c:axId val="161773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5372248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baseline="0"/>
              <a:t>5 Municipios con Menor Monto de Ventas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 8.4'!$B$1</c:f>
              <c:strCache>
                <c:ptCount val="1"/>
                <c:pt idx="0">
                  <c:v>Monto Total (COP)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'Grafica 8.4'!$A$2:$A$6</c:f>
              <c:strCache>
                <c:ptCount val="5"/>
                <c:pt idx="0">
                  <c:v>Valle del Cauca - Zarzal</c:v>
                </c:pt>
                <c:pt idx="1">
                  <c:v>Cesar - Pelaya</c:v>
                </c:pt>
                <c:pt idx="2">
                  <c:v>Boyacá - Togüí</c:v>
                </c:pt>
                <c:pt idx="3">
                  <c:v>Córdoba - Moñitos</c:v>
                </c:pt>
                <c:pt idx="4">
                  <c:v>Cundinamarca - Sesquilé</c:v>
                </c:pt>
              </c:strCache>
            </c:strRef>
          </c:cat>
          <c:val>
            <c:numRef>
              <c:f>'Grafica 8.4'!$B$2:$B$6</c:f>
              <c:numCache>
                <c:formatCode>#,##0</c:formatCode>
                <c:ptCount val="5"/>
                <c:pt idx="0">
                  <c:v>68200</c:v>
                </c:pt>
                <c:pt idx="1">
                  <c:v>86400</c:v>
                </c:pt>
                <c:pt idx="2">
                  <c:v>92800</c:v>
                </c:pt>
                <c:pt idx="3">
                  <c:v>94200</c:v>
                </c:pt>
                <c:pt idx="4">
                  <c:v>104200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9-4F96-A405-28C4CCFD9A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23645936"/>
        <c:axId val="1553696560"/>
      </c:barChart>
      <c:catAx>
        <c:axId val="162364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3696560"/>
        <c:crosses val="autoZero"/>
        <c:auto val="1"/>
        <c:lblAlgn val="ctr"/>
        <c:lblOffset val="100"/>
        <c:noMultiLvlLbl val="0"/>
      </c:catAx>
      <c:valAx>
        <c:axId val="155369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2364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Participación de Ventas por Región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'Grafica 8.5'!$B$1</c:f>
              <c:strCache>
                <c:ptCount val="1"/>
                <c:pt idx="0">
                  <c:v>Cantidad Vendida (Unidades)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BD-440E-A0E9-A9F7F23132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BD-440E-A0E9-A9F7F23132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8BD-440E-A0E9-A9F7F23132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BD-440E-A0E9-A9F7F23132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8BD-440E-A0E9-A9F7F231325B}"/>
              </c:ext>
            </c:extLst>
          </c:dPt>
          <c:dLbls>
            <c:dLbl>
              <c:idx val="0"/>
              <c:layout>
                <c:manualLayout>
                  <c:x val="1.3101596675415573E-2"/>
                  <c:y val="3.735564304461946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BD-440E-A0E9-A9F7F231325B}"/>
                </c:ext>
              </c:extLst>
            </c:dLbl>
            <c:dLbl>
              <c:idx val="1"/>
              <c:layout>
                <c:manualLayout>
                  <c:x val="0.12041174540682414"/>
                  <c:y val="-4.706984543598716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BD-440E-A0E9-A9F7F231325B}"/>
                </c:ext>
              </c:extLst>
            </c:dLbl>
            <c:dLbl>
              <c:idx val="2"/>
              <c:layout>
                <c:manualLayout>
                  <c:x val="-3.5162948381452317E-3"/>
                  <c:y val="-1.765711577719451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BD-440E-A0E9-A9F7F231325B}"/>
                </c:ext>
              </c:extLst>
            </c:dLbl>
            <c:dLbl>
              <c:idx val="3"/>
              <c:layout>
                <c:manualLayout>
                  <c:x val="7.3495188101487313E-3"/>
                  <c:y val="9.946048410615339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BD-440E-A0E9-A9F7F231325B}"/>
                </c:ext>
              </c:extLst>
            </c:dLbl>
            <c:dLbl>
              <c:idx val="4"/>
              <c:layout>
                <c:manualLayout>
                  <c:x val="-8.6146106736657915E-3"/>
                  <c:y val="6.1173082531350252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BD-440E-A0E9-A9F7F23132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'Grafica 8.5'!$A$2:$A$6</c:f>
              <c:strCache>
                <c:ptCount val="5"/>
                <c:pt idx="0">
                  <c:v>Centro Oriente</c:v>
                </c:pt>
                <c:pt idx="1">
                  <c:v>Caribe</c:v>
                </c:pt>
                <c:pt idx="2">
                  <c:v>Eje Cafetero</c:v>
                </c:pt>
                <c:pt idx="3">
                  <c:v>Pacífico</c:v>
                </c:pt>
                <c:pt idx="4">
                  <c:v>Llano</c:v>
                </c:pt>
              </c:strCache>
            </c:strRef>
          </c:cat>
          <c:val>
            <c:numRef>
              <c:f>'Grafica 8.5'!$B$2:$B$6</c:f>
              <c:numCache>
                <c:formatCode>#,##0</c:formatCode>
                <c:ptCount val="5"/>
                <c:pt idx="0">
                  <c:v>221840</c:v>
                </c:pt>
                <c:pt idx="1">
                  <c:v>148910</c:v>
                </c:pt>
                <c:pt idx="2">
                  <c:v>102350</c:v>
                </c:pt>
                <c:pt idx="3">
                  <c:v>78410</c:v>
                </c:pt>
                <c:pt idx="4">
                  <c:v>42190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D-440E-A0E9-A9F7F231325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baseline="0"/>
              <a:t>Participación de Ventas por Producto en Antioquia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'Grafica 8.6'!$B$1</c:f>
              <c:strCache>
                <c:ptCount val="1"/>
                <c:pt idx="0">
                  <c:v>Monto Total (COP)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64B-4245-98C9-C8F8E72F9A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64B-4245-98C9-C8F8E72F9A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4B-4245-98C9-C8F8E72F9A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4B-4245-98C9-C8F8E72F9AD4}"/>
              </c:ext>
            </c:extLst>
          </c:dPt>
          <c:dLbls>
            <c:dLbl>
              <c:idx val="0"/>
              <c:layout>
                <c:manualLayout>
                  <c:x val="2.0723315835520457E-2"/>
                  <c:y val="-9.285287255759701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4B-4245-98C9-C8F8E72F9AD4}"/>
                </c:ext>
              </c:extLst>
            </c:dLbl>
            <c:dLbl>
              <c:idx val="1"/>
              <c:layout>
                <c:manualLayout>
                  <c:x val="0.13360387340075125"/>
                  <c:y val="-8.830722572604841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4B-4245-98C9-C8F8E72F9AD4}"/>
                </c:ext>
              </c:extLst>
            </c:dLbl>
            <c:dLbl>
              <c:idx val="2"/>
              <c:layout>
                <c:manualLayout>
                  <c:x val="-6.8339096174341613E-2"/>
                  <c:y val="-9.160726570688651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4B-4245-98C9-C8F8E72F9AD4}"/>
                </c:ext>
              </c:extLst>
            </c:dLbl>
            <c:dLbl>
              <c:idx val="3"/>
              <c:layout>
                <c:manualLayout>
                  <c:x val="-2.6558180227471619E-2"/>
                  <c:y val="-2.218686205890932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4B-4245-98C9-C8F8E72F9A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'Grafica 8.6'!$A$2:$A$5</c:f>
              <c:strCache>
                <c:ptCount val="4"/>
                <c:pt idx="0">
                  <c:v>COLOMBIANITA</c:v>
                </c:pt>
                <c:pt idx="1">
                  <c:v>MANZALOCA</c:v>
                </c:pt>
                <c:pt idx="2">
                  <c:v>MANGOSÓN</c:v>
                </c:pt>
                <c:pt idx="3">
                  <c:v>NARANJITA</c:v>
                </c:pt>
              </c:strCache>
            </c:strRef>
          </c:cat>
          <c:val>
            <c:numRef>
              <c:f>'Grafica 8.6'!$B$2:$B$5</c:f>
              <c:numCache>
                <c:formatCode>#,##0</c:formatCode>
                <c:ptCount val="4"/>
                <c:pt idx="0">
                  <c:v>35680800</c:v>
                </c:pt>
                <c:pt idx="1">
                  <c:v>27305000</c:v>
                </c:pt>
                <c:pt idx="2">
                  <c:v>24820200</c:v>
                </c:pt>
                <c:pt idx="3">
                  <c:v>17953800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B-4245-98C9-C8F8E72F9AD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25555</xdr:colOff>
      <xdr:row>1</xdr:row>
      <xdr:rowOff>33919</xdr:rowOff>
    </xdr:from>
    <xdr:to>
      <xdr:col>10</xdr:col>
      <xdr:colOff>44141</xdr:colOff>
      <xdr:row>15</xdr:row>
      <xdr:rowOff>113216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F01470-42D6-8531-D016-8A8E48665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568325</xdr:colOff>
      <xdr:row>4</xdr:row>
      <xdr:rowOff>0</xdr:rowOff>
    </xdr:from>
    <xdr:to>
      <xdr:col>9</xdr:col>
      <xdr:colOff>568325</xdr:colOff>
      <xdr:row>15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AEAE48-319A-5A65-FBCB-25B7F77B4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290727</xdr:colOff>
      <xdr:row>1</xdr:row>
      <xdr:rowOff>25017</xdr:rowOff>
    </xdr:from>
    <xdr:to>
      <xdr:col>9</xdr:col>
      <xdr:colOff>301879</xdr:colOff>
      <xdr:row>16</xdr:row>
      <xdr:rowOff>34958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18F492-1291-41D3-3AA6-EDAD1C7CF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0</xdr:row>
      <xdr:rowOff>171450</xdr:rowOff>
    </xdr:from>
    <xdr:to>
      <xdr:col>8</xdr:col>
      <xdr:colOff>390525</xdr:colOff>
      <xdr:row>15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8F58846-3EE6-706E-0FF8-37A21EC64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0</xdr:row>
      <xdr:rowOff>82550</xdr:rowOff>
    </xdr:from>
    <xdr:to>
      <xdr:col>8</xdr:col>
      <xdr:colOff>276225</xdr:colOff>
      <xdr:row>15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24141E-8B24-BD20-4AE5-E409EF30E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402375</xdr:colOff>
      <xdr:row>0</xdr:row>
      <xdr:rowOff>183134</xdr:rowOff>
    </xdr:from>
    <xdr:to>
      <xdr:col>8</xdr:col>
      <xdr:colOff>408927</xdr:colOff>
      <xdr:row>15</xdr:row>
      <xdr:rowOff>164084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B28005-06B8-C976-CC4A-7DF8C1B8B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074952-797B-4AB5-A4D4-1C30FC6F879D}" name="Tabla1" displayName="Tabla1" ref="A1:C9" totalsRowShown="0" headerRowBorderDxfId="15" tableBorderDxfId="16">
  <autoFilter ref="A1:C9" xr:uid="{8D074952-797B-4AB5-A4D4-1C30FC6F879D}"/>
  <tableColumns count="3">
    <tableColumn id="1" xr3:uid="{138F62F2-06CC-4CE6-B8F9-4CBC58EA78DF}" name="Departamento" dataDxfId="14"/>
    <tableColumn id="2" xr3:uid="{B75A9544-321E-4585-A1C2-6453BABFC520}" name="Monto Total " dataDxfId="13"/>
    <tableColumn id="3" xr3:uid="{8E79E1ED-B16C-42F7-B82C-73F461EC07A1}" name="Acumulado" dataDxfId="12" dataCellStyle="Porcentaje">
      <calculatedColumnFormula>C1+(B2/SUM($B$2:$B$9))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F93C55-F1DC-4B8F-9FF1-A1665199C3D2}" name="Tabla2" displayName="Tabla2" ref="A1:C16" totalsRowShown="0" headerRowDxfId="6" headerRowBorderDxfId="10" tableBorderDxfId="11">
  <autoFilter ref="A1:C16" xr:uid="{F6F93C55-F1DC-4B8F-9FF1-A1665199C3D2}"/>
  <tableColumns count="3">
    <tableColumn id="1" xr3:uid="{D95F7C7A-F80D-4160-A4D7-F7DD0992A42B}" name="Municipio" dataDxfId="9"/>
    <tableColumn id="2" xr3:uid="{8B63B0B4-ED25-48E3-B485-7369BE654F61}" name="Cantidad Vendida" dataDxfId="8"/>
    <tableColumn id="3" xr3:uid="{50713FEB-D8AB-47A0-BFAF-34616799DF34}" name="Acumulado" dataDxfId="7" dataCellStyle="Porcentaje">
      <calculatedColumnFormula>C1+(B2/SUM($B$2:$B$16))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D8E00D-83E3-4283-8FCD-2B817DFB0DB9}" name="Tabla3" displayName="Tabla3" ref="A1:C6" totalsRowShown="0">
  <autoFilter ref="A1:C6" xr:uid="{44D8E00D-83E3-4283-8FCD-2B817DFB0DB9}"/>
  <tableColumns count="3">
    <tableColumn id="1" xr3:uid="{62D24F9D-9DB2-48B9-BE92-C534B92B56DF}" name="Departamento"/>
    <tableColumn id="2" xr3:uid="{B7F0D6AD-2AAC-4EBA-8BB8-4D352091A039}" name="Cantidad (Unidades)" dataDxfId="5"/>
    <tableColumn id="3" xr3:uid="{F65EA3FB-CB8B-4DC8-8D64-398034A954C5}" name="Acumulado" dataDxfId="4" dataCellStyle="Porcentaje">
      <calculatedColumnFormula>C1+(B2/SUM($B$2:$B$6))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C465D1-C0C6-443C-BD34-8B4E7031D3F9}" name="Tabla4" displayName="Tabla4" ref="A1:B6" totalsRowShown="0">
  <autoFilter ref="A1:B6" xr:uid="{6DC465D1-C0C6-443C-BD34-8B4E7031D3F9}"/>
  <tableColumns count="2">
    <tableColumn id="1" xr3:uid="{B2819FB7-0A85-4B4B-9213-16C735B0626F}" name="Departamento- Municipio"/>
    <tableColumn id="2" xr3:uid="{5972906A-DA52-4EB7-8C5E-84E9CE386506}" name="Monto Total (COP)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150A7C-54CF-4B16-80EE-87F591AC88B3}" name="Tabla5" displayName="Tabla5" ref="A1:B6" totalsRowShown="0">
  <autoFilter ref="A1:B6" xr:uid="{6D150A7C-54CF-4B16-80EE-87F591AC88B3}"/>
  <tableColumns count="2">
    <tableColumn id="1" xr3:uid="{2496CD41-34AE-4E70-80EF-2DC284B0A21E}" name="Región"/>
    <tableColumn id="2" xr3:uid="{5087C6FC-FFB4-4F00-8A84-7AD9FDF6DFB9}" name="Cantidad Vendida (Unidades)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F2BA5D-3867-42BA-BDE4-606BE0091E2A}" name="Tabla6" displayName="Tabla6" ref="A1:B5" totalsRowShown="0" headerRowDxfId="0">
  <autoFilter ref="A1:B5" xr:uid="{25F2BA5D-3867-42BA-BDE4-606BE0091E2A}"/>
  <tableColumns count="2">
    <tableColumn id="1" xr3:uid="{6342BD78-EDE5-48DA-893E-AFB120680506}" name="Producto"/>
    <tableColumn id="2" xr3:uid="{98EDE04F-9EEB-4BAF-8792-69A2981B42F5}" name="Monto Total (COP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0470-65B3-4802-87BA-566304ABC088}">
  <dimension ref="A1:C9"/>
  <sheetViews>
    <sheetView tabSelected="1" zoomScale="82" workbookViewId="0">
      <selection activeCell="G19" sqref="G19"/>
    </sheetView>
  </sheetViews>
  <sheetFormatPr baseColWidth="10" defaultRowHeight="14.5" x14ac:dyDescent="0.35"/>
  <cols>
    <col min="1" max="1" width="18.26953125" customWidth="1"/>
    <col min="2" max="2" width="15.81640625" customWidth="1"/>
    <col min="3" max="3" width="15" customWidth="1"/>
  </cols>
  <sheetData>
    <row r="1" spans="1:3" ht="15" thickBot="1" x14ac:dyDescent="0.4">
      <c r="A1" s="5" t="s">
        <v>0</v>
      </c>
      <c r="B1" s="6" t="s">
        <v>10</v>
      </c>
      <c r="C1" s="6" t="s">
        <v>11</v>
      </c>
    </row>
    <row r="2" spans="1:3" ht="15" thickBot="1" x14ac:dyDescent="0.4">
      <c r="A2" s="4" t="s">
        <v>2</v>
      </c>
      <c r="B2" s="2">
        <v>105759800</v>
      </c>
      <c r="C2" s="3">
        <f>B2/SUM($B$2:$B$9)</f>
        <v>0.19472399349912276</v>
      </c>
    </row>
    <row r="3" spans="1:3" ht="15" thickBot="1" x14ac:dyDescent="0.4">
      <c r="A3" s="4" t="s">
        <v>3</v>
      </c>
      <c r="B3" s="2">
        <v>99513900</v>
      </c>
      <c r="C3" s="3">
        <f>C2+(B3/SUM($B$2:$B$9))</f>
        <v>0.37794809203819291</v>
      </c>
    </row>
    <row r="4" spans="1:3" ht="15" thickBot="1" x14ac:dyDescent="0.4">
      <c r="A4" s="4" t="s">
        <v>4</v>
      </c>
      <c r="B4" s="2">
        <v>93349300</v>
      </c>
      <c r="C4" s="3">
        <f t="shared" ref="C4:C9" si="0">C3+(B4/SUM($B$2:$B$9))</f>
        <v>0.54982198444672303</v>
      </c>
    </row>
    <row r="5" spans="1:3" ht="15" thickBot="1" x14ac:dyDescent="0.4">
      <c r="A5" s="4" t="s">
        <v>5</v>
      </c>
      <c r="B5" s="2">
        <v>73633600</v>
      </c>
      <c r="C5" s="3">
        <f t="shared" si="0"/>
        <v>0.6853955071625093</v>
      </c>
    </row>
    <row r="6" spans="1:3" ht="15" thickBot="1" x14ac:dyDescent="0.4">
      <c r="A6" s="4" t="s">
        <v>6</v>
      </c>
      <c r="B6" s="2">
        <v>54167600</v>
      </c>
      <c r="C6" s="3">
        <f t="shared" si="0"/>
        <v>0.78512840558197572</v>
      </c>
    </row>
    <row r="7" spans="1:3" ht="15" thickBot="1" x14ac:dyDescent="0.4">
      <c r="A7" s="4" t="s">
        <v>7</v>
      </c>
      <c r="B7" s="2">
        <v>40279200</v>
      </c>
      <c r="C7" s="3">
        <f t="shared" si="0"/>
        <v>0.85929010670990769</v>
      </c>
    </row>
    <row r="8" spans="1:3" ht="15" thickBot="1" x14ac:dyDescent="0.4">
      <c r="A8" s="4" t="s">
        <v>8</v>
      </c>
      <c r="B8" s="2">
        <v>39817700</v>
      </c>
      <c r="C8" s="3">
        <f t="shared" si="0"/>
        <v>0.93260209818445683</v>
      </c>
    </row>
    <row r="9" spans="1:3" ht="15" thickBot="1" x14ac:dyDescent="0.4">
      <c r="A9" s="4" t="s">
        <v>9</v>
      </c>
      <c r="B9" s="2">
        <v>36605600</v>
      </c>
      <c r="C9" s="3">
        <f t="shared" si="0"/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87EB-C5AC-467F-AF73-E217E490968A}">
  <dimension ref="A1:C16"/>
  <sheetViews>
    <sheetView workbookViewId="0">
      <selection activeCell="D5" sqref="D5"/>
    </sheetView>
  </sheetViews>
  <sheetFormatPr baseColWidth="10" defaultRowHeight="14.5" x14ac:dyDescent="0.35"/>
  <cols>
    <col min="1" max="1" width="22.1796875" customWidth="1"/>
    <col min="2" max="2" width="23.1796875" customWidth="1"/>
    <col min="3" max="3" width="14.36328125" customWidth="1"/>
  </cols>
  <sheetData>
    <row r="1" spans="1:3" ht="15" thickBot="1" x14ac:dyDescent="0.4">
      <c r="A1" s="7" t="s">
        <v>12</v>
      </c>
      <c r="B1" s="6" t="s">
        <v>13</v>
      </c>
      <c r="C1" s="6" t="s">
        <v>11</v>
      </c>
    </row>
    <row r="2" spans="1:3" ht="15" thickBot="1" x14ac:dyDescent="0.4">
      <c r="A2" s="4" t="s">
        <v>14</v>
      </c>
      <c r="B2" s="2">
        <v>1850</v>
      </c>
      <c r="C2" s="3">
        <f>B2/SUM($B$2:$B$16)</f>
        <v>8.0194200008669642E-2</v>
      </c>
    </row>
    <row r="3" spans="1:3" ht="15" thickBot="1" x14ac:dyDescent="0.4">
      <c r="A3" s="4" t="s">
        <v>15</v>
      </c>
      <c r="B3" s="2">
        <v>1708</v>
      </c>
      <c r="C3" s="3">
        <f>C2+(B3/SUM($B$2:$B$16))</f>
        <v>0.15423295331397113</v>
      </c>
    </row>
    <row r="4" spans="1:3" ht="15" thickBot="1" x14ac:dyDescent="0.4">
      <c r="A4" s="4" t="s">
        <v>16</v>
      </c>
      <c r="B4" s="2">
        <v>1699</v>
      </c>
      <c r="C4" s="3">
        <f t="shared" ref="C4:C16" si="0">C3+(B4/SUM($B$2:$B$16))</f>
        <v>0.22788157267328452</v>
      </c>
    </row>
    <row r="5" spans="1:3" ht="15" thickBot="1" x14ac:dyDescent="0.4">
      <c r="A5" s="4" t="s">
        <v>6</v>
      </c>
      <c r="B5" s="2">
        <v>1611</v>
      </c>
      <c r="C5" s="3">
        <f t="shared" si="0"/>
        <v>0.29771554900515845</v>
      </c>
    </row>
    <row r="6" spans="1:3" ht="15" thickBot="1" x14ac:dyDescent="0.4">
      <c r="A6" s="4" t="s">
        <v>17</v>
      </c>
      <c r="B6" s="2">
        <v>1604</v>
      </c>
      <c r="C6" s="3">
        <f t="shared" si="0"/>
        <v>0.36724608782348611</v>
      </c>
    </row>
    <row r="7" spans="1:3" ht="15" thickBot="1" x14ac:dyDescent="0.4">
      <c r="A7" s="4" t="s">
        <v>18</v>
      </c>
      <c r="B7" s="2">
        <v>1600</v>
      </c>
      <c r="C7" s="3">
        <f t="shared" si="0"/>
        <v>0.43660323377693011</v>
      </c>
    </row>
    <row r="8" spans="1:3" ht="15" thickBot="1" x14ac:dyDescent="0.4">
      <c r="A8" s="4" t="s">
        <v>19</v>
      </c>
      <c r="B8" s="2">
        <v>1520</v>
      </c>
      <c r="C8" s="3">
        <f t="shared" si="0"/>
        <v>0.50249252243270193</v>
      </c>
    </row>
    <row r="9" spans="1:3" ht="15" thickBot="1" x14ac:dyDescent="0.4">
      <c r="A9" s="9" t="s">
        <v>20</v>
      </c>
      <c r="B9" s="2">
        <v>1514</v>
      </c>
      <c r="C9" s="3">
        <f t="shared" si="0"/>
        <v>0.56812172179114828</v>
      </c>
    </row>
    <row r="10" spans="1:3" ht="15" thickBot="1" x14ac:dyDescent="0.4">
      <c r="A10" s="4" t="s">
        <v>21</v>
      </c>
      <c r="B10" s="2">
        <v>1510</v>
      </c>
      <c r="C10" s="3">
        <f t="shared" si="0"/>
        <v>0.63357752828471103</v>
      </c>
    </row>
    <row r="11" spans="1:3" ht="15" thickBot="1" x14ac:dyDescent="0.4">
      <c r="A11" s="4" t="s">
        <v>22</v>
      </c>
      <c r="B11" s="2">
        <v>1441</v>
      </c>
      <c r="C11" s="3">
        <f t="shared" si="0"/>
        <v>0.69604230785903154</v>
      </c>
    </row>
    <row r="12" spans="1:3" ht="15" thickBot="1" x14ac:dyDescent="0.4">
      <c r="A12" s="4" t="s">
        <v>23</v>
      </c>
      <c r="B12" s="2">
        <v>1430</v>
      </c>
      <c r="C12" s="3">
        <f t="shared" si="0"/>
        <v>0.75803025705492211</v>
      </c>
    </row>
    <row r="13" spans="1:3" ht="15" thickBot="1" x14ac:dyDescent="0.4">
      <c r="A13" s="4" t="s">
        <v>24</v>
      </c>
      <c r="B13" s="2">
        <v>1412</v>
      </c>
      <c r="C13" s="3">
        <f t="shared" si="0"/>
        <v>0.8192379383588364</v>
      </c>
    </row>
    <row r="14" spans="1:3" ht="15" thickBot="1" x14ac:dyDescent="0.4">
      <c r="A14" s="9" t="s">
        <v>25</v>
      </c>
      <c r="B14" s="2">
        <v>1399</v>
      </c>
      <c r="C14" s="3">
        <f t="shared" si="0"/>
        <v>0.87988209285187902</v>
      </c>
    </row>
    <row r="15" spans="1:3" ht="15" thickBot="1" x14ac:dyDescent="0.4">
      <c r="A15" s="4" t="s">
        <v>26</v>
      </c>
      <c r="B15" s="2">
        <v>1391</v>
      </c>
      <c r="C15" s="3">
        <f t="shared" si="0"/>
        <v>0.94017946161515442</v>
      </c>
    </row>
    <row r="16" spans="1:3" ht="15" thickBot="1" x14ac:dyDescent="0.4">
      <c r="A16" s="4" t="s">
        <v>27</v>
      </c>
      <c r="B16" s="2">
        <v>1380</v>
      </c>
      <c r="C16" s="3">
        <f t="shared" si="0"/>
        <v>0.99999999999999989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CE2A-AEE3-4BC5-8F89-4738F7ECF9F5}">
  <dimension ref="A1:C6"/>
  <sheetViews>
    <sheetView zoomScale="77" workbookViewId="0">
      <selection activeCell="B9" sqref="B9"/>
    </sheetView>
  </sheetViews>
  <sheetFormatPr baseColWidth="10" defaultRowHeight="14.5" x14ac:dyDescent="0.35"/>
  <cols>
    <col min="1" max="1" width="14.7265625" customWidth="1"/>
    <col min="2" max="2" width="18.81640625" customWidth="1"/>
    <col min="3" max="3" width="11.453125" style="3" customWidth="1"/>
  </cols>
  <sheetData>
    <row r="1" spans="1:3" x14ac:dyDescent="0.35">
      <c r="A1" t="s">
        <v>0</v>
      </c>
      <c r="B1" t="s">
        <v>28</v>
      </c>
      <c r="C1" s="3" t="s">
        <v>11</v>
      </c>
    </row>
    <row r="2" spans="1:3" x14ac:dyDescent="0.35">
      <c r="A2" t="s">
        <v>2</v>
      </c>
      <c r="B2" s="1">
        <v>27305</v>
      </c>
      <c r="C2" s="3">
        <f>B2/SUM($B$2:$B$6)</f>
        <v>0.23735016211611512</v>
      </c>
    </row>
    <row r="3" spans="1:3" x14ac:dyDescent="0.35">
      <c r="A3" t="s">
        <v>3</v>
      </c>
      <c r="B3" s="1">
        <v>26577</v>
      </c>
      <c r="C3" s="3">
        <f>C2+(B3/SUM($B$2:$B$6))</f>
        <v>0.46837214558287915</v>
      </c>
    </row>
    <row r="4" spans="1:3" x14ac:dyDescent="0.35">
      <c r="A4" t="s">
        <v>4</v>
      </c>
      <c r="B4" s="1">
        <v>25510</v>
      </c>
      <c r="C4" s="3">
        <f t="shared" ref="C4:C6" si="0">C3+(B4/SUM($B$2:$B$6))</f>
        <v>0.69011917490286079</v>
      </c>
    </row>
    <row r="5" spans="1:3" x14ac:dyDescent="0.35">
      <c r="A5" t="s">
        <v>5</v>
      </c>
      <c r="B5" s="1">
        <v>21376</v>
      </c>
      <c r="C5" s="3">
        <f t="shared" si="0"/>
        <v>0.87593118974974149</v>
      </c>
    </row>
    <row r="6" spans="1:3" x14ac:dyDescent="0.35">
      <c r="A6" t="s">
        <v>6</v>
      </c>
      <c r="B6" s="1">
        <v>14273</v>
      </c>
      <c r="C6" s="3">
        <f t="shared" si="0"/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C3D8-D82F-48DE-A822-AA96BBF6B3F6}">
  <dimension ref="A1:B6"/>
  <sheetViews>
    <sheetView workbookViewId="0">
      <selection activeCell="K12" sqref="K12"/>
    </sheetView>
  </sheetViews>
  <sheetFormatPr baseColWidth="10" defaultRowHeight="14.5" x14ac:dyDescent="0.35"/>
  <cols>
    <col min="1" max="1" width="24.1796875" customWidth="1"/>
    <col min="2" max="2" width="17.7265625" customWidth="1"/>
  </cols>
  <sheetData>
    <row r="1" spans="1:2" x14ac:dyDescent="0.35">
      <c r="A1" t="s">
        <v>29</v>
      </c>
      <c r="B1" t="s">
        <v>1</v>
      </c>
    </row>
    <row r="2" spans="1:2" x14ac:dyDescent="0.35">
      <c r="A2" t="s">
        <v>30</v>
      </c>
      <c r="B2" s="1">
        <v>68200</v>
      </c>
    </row>
    <row r="3" spans="1:2" x14ac:dyDescent="0.35">
      <c r="A3" t="s">
        <v>31</v>
      </c>
      <c r="B3" s="1">
        <v>86400</v>
      </c>
    </row>
    <row r="4" spans="1:2" x14ac:dyDescent="0.35">
      <c r="A4" t="s">
        <v>32</v>
      </c>
      <c r="B4" s="1">
        <v>92800</v>
      </c>
    </row>
    <row r="5" spans="1:2" x14ac:dyDescent="0.35">
      <c r="A5" t="s">
        <v>33</v>
      </c>
      <c r="B5" s="1">
        <v>94200</v>
      </c>
    </row>
    <row r="6" spans="1:2" x14ac:dyDescent="0.35">
      <c r="A6" t="s">
        <v>34</v>
      </c>
      <c r="B6" s="1">
        <v>104200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0190-9613-4FF0-865C-429042678792}">
  <dimension ref="A1:B6"/>
  <sheetViews>
    <sheetView workbookViewId="0">
      <selection activeCell="B8" sqref="B8"/>
    </sheetView>
  </sheetViews>
  <sheetFormatPr baseColWidth="10" defaultRowHeight="14.5" x14ac:dyDescent="0.35"/>
  <cols>
    <col min="1" max="1" width="19.81640625" customWidth="1"/>
    <col min="2" max="2" width="27.453125" customWidth="1"/>
  </cols>
  <sheetData>
    <row r="1" spans="1:2" x14ac:dyDescent="0.35">
      <c r="A1" t="s">
        <v>35</v>
      </c>
      <c r="B1" t="s">
        <v>36</v>
      </c>
    </row>
    <row r="2" spans="1:2" x14ac:dyDescent="0.35">
      <c r="A2" t="s">
        <v>37</v>
      </c>
      <c r="B2" s="1">
        <v>221840</v>
      </c>
    </row>
    <row r="3" spans="1:2" x14ac:dyDescent="0.35">
      <c r="A3" t="s">
        <v>38</v>
      </c>
      <c r="B3" s="1">
        <v>148910</v>
      </c>
    </row>
    <row r="4" spans="1:2" x14ac:dyDescent="0.35">
      <c r="A4" t="s">
        <v>39</v>
      </c>
      <c r="B4" s="1">
        <v>102350</v>
      </c>
    </row>
    <row r="5" spans="1:2" x14ac:dyDescent="0.35">
      <c r="A5" t="s">
        <v>40</v>
      </c>
      <c r="B5" s="1">
        <v>78410</v>
      </c>
    </row>
    <row r="6" spans="1:2" x14ac:dyDescent="0.35">
      <c r="A6" t="s">
        <v>41</v>
      </c>
      <c r="B6" s="1">
        <v>42190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77A9-EAC5-4DCB-989D-AC33F9EC2E96}">
  <dimension ref="A1:B5"/>
  <sheetViews>
    <sheetView zoomScale="92" workbookViewId="0">
      <selection activeCell="J14" sqref="J14"/>
    </sheetView>
  </sheetViews>
  <sheetFormatPr baseColWidth="10" defaultRowHeight="14.5" x14ac:dyDescent="0.35"/>
  <cols>
    <col min="1" max="1" width="15.6328125" customWidth="1"/>
    <col min="2" max="2" width="17.54296875" customWidth="1"/>
  </cols>
  <sheetData>
    <row r="1" spans="1:2" x14ac:dyDescent="0.35">
      <c r="A1" s="8" t="s">
        <v>42</v>
      </c>
      <c r="B1" s="8" t="s">
        <v>1</v>
      </c>
    </row>
    <row r="2" spans="1:2" x14ac:dyDescent="0.35">
      <c r="A2" t="s">
        <v>43</v>
      </c>
      <c r="B2" s="1">
        <v>35680800</v>
      </c>
    </row>
    <row r="3" spans="1:2" x14ac:dyDescent="0.35">
      <c r="A3" t="s">
        <v>44</v>
      </c>
      <c r="B3" s="1">
        <v>27305000</v>
      </c>
    </row>
    <row r="4" spans="1:2" x14ac:dyDescent="0.35">
      <c r="A4" t="s">
        <v>45</v>
      </c>
      <c r="B4" s="1">
        <v>24820200</v>
      </c>
    </row>
    <row r="5" spans="1:2" x14ac:dyDescent="0.35">
      <c r="A5" t="s">
        <v>46</v>
      </c>
      <c r="B5" s="1">
        <v>17953800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Grafica 8.1</vt:lpstr>
      <vt:lpstr>Grafica 8.2</vt:lpstr>
      <vt:lpstr>Grafica 8.3</vt:lpstr>
      <vt:lpstr>Grafica 8.4</vt:lpstr>
      <vt:lpstr>Grafica 8.5</vt:lpstr>
      <vt:lpstr>Grafica 8.6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Andrea López Díaz</dc:creator>
  <cp:lastModifiedBy>Natalia Andrea López Díaz</cp:lastModifiedBy>
  <dcterms:created xsi:type="dcterms:W3CDTF">2026-09-25T00:11:45Z</dcterms:created>
  <dcterms:modified xsi:type="dcterms:W3CDTF">2026-09-25T01:34:41Z</dcterms:modified>
</cp:coreProperties>
</file>